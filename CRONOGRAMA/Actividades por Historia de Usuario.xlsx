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picas" sheetId="1" state="visible" r:id="rId3"/>
    <sheet name="Actividades" sheetId="2" state="visible" r:id="rId4"/>
  </sheets>
  <definedNames>
    <definedName function="false" hidden="true" localSheetId="0" name="_xlnm._FilterDatabase" vbProcedure="false">Epicas!$A$1:$C$28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<sst xmlns="http://schemas.openxmlformats.org/spreadsheetml/2006/main" count="164" uniqueCount="102">
  <si>
    <t xml:space="preserve">Historias</t>
  </si>
  <si>
    <t xml:space="preserve">Prioridad</t>
  </si>
  <si>
    <t xml:space="preserve">Estimacion</t>
  </si>
  <si>
    <t xml:space="preserve">HU1</t>
  </si>
  <si>
    <t xml:space="preserve">Alta</t>
  </si>
  <si>
    <t xml:space="preserve">HU2</t>
  </si>
  <si>
    <t xml:space="preserve">Medio</t>
  </si>
  <si>
    <t xml:space="preserve">HU3</t>
  </si>
  <si>
    <t xml:space="preserve">HU4</t>
  </si>
  <si>
    <t xml:space="preserve">HU5</t>
  </si>
  <si>
    <t xml:space="preserve">HU6</t>
  </si>
  <si>
    <t xml:space="preserve">HU7</t>
  </si>
  <si>
    <t xml:space="preserve">Bajo</t>
  </si>
  <si>
    <t xml:space="preserve">HU8</t>
  </si>
  <si>
    <t xml:space="preserve">HU9</t>
  </si>
  <si>
    <t xml:space="preserve">HU10</t>
  </si>
  <si>
    <t xml:space="preserve">HU11</t>
  </si>
  <si>
    <t xml:space="preserve">HU12</t>
  </si>
  <si>
    <t xml:space="preserve">HU13</t>
  </si>
  <si>
    <t xml:space="preserve">HU14</t>
  </si>
  <si>
    <t xml:space="preserve">Alto</t>
  </si>
  <si>
    <t xml:space="preserve">HU15</t>
  </si>
  <si>
    <t xml:space="preserve">HU16</t>
  </si>
  <si>
    <t xml:space="preserve">HU17</t>
  </si>
  <si>
    <t xml:space="preserve">HU18</t>
  </si>
  <si>
    <t xml:space="preserve">HU19</t>
  </si>
  <si>
    <t xml:space="preserve">HU20</t>
  </si>
  <si>
    <t xml:space="preserve">HU21</t>
  </si>
  <si>
    <t xml:space="preserve">HU22</t>
  </si>
  <si>
    <t xml:space="preserve">HU23</t>
  </si>
  <si>
    <t xml:space="preserve">TOTAL</t>
  </si>
  <si>
    <t xml:space="preserve">T (HORAS)</t>
  </si>
  <si>
    <t xml:space="preserve">Total horas</t>
  </si>
  <si>
    <t xml:space="preserve">Semana</t>
  </si>
  <si>
    <t xml:space="preserve">Actividades</t>
  </si>
  <si>
    <t xml:space="preserve">Horas reales</t>
  </si>
  <si>
    <t xml:space="preserve">Springs</t>
  </si>
  <si>
    <t xml:space="preserve">Diseño de base de datos</t>
  </si>
  <si>
    <t xml:space="preserve">Spring 1</t>
  </si>
  <si>
    <t xml:space="preserve">Implementacion de base datos</t>
  </si>
  <si>
    <t xml:space="preserve">Implementar Api de catalogo de sitios turistcos</t>
  </si>
  <si>
    <t xml:space="preserve">Diseño de interfaz de catalogo de sitios turistico</t>
  </si>
  <si>
    <t xml:space="preserve">Implemtar API para ficha detallado de sitio turistico</t>
  </si>
  <si>
    <t xml:space="preserve">Diseño de interfaz de ficha detallado del sitio turistico</t>
  </si>
  <si>
    <t xml:space="preserve">Spring 2</t>
  </si>
  <si>
    <t xml:space="preserve">Implementar API para imagenes y mapas de sitio turistico</t>
  </si>
  <si>
    <t xml:space="preserve">Diseño de interfaz de imagenes y mapas del sitios turistico</t>
  </si>
  <si>
    <t xml:space="preserve">Implementar API para mostrar puntos de interes</t>
  </si>
  <si>
    <t xml:space="preserve">Integracion de Mapa y posicion en tiempo real</t>
  </si>
  <si>
    <t xml:space="preserve">Implementacion de interfaz para mostrar mapa</t>
  </si>
  <si>
    <t xml:space="preserve">Spring 3</t>
  </si>
  <si>
    <t xml:space="preserve">Integración de mapa y posición en tiempo real</t>
  </si>
  <si>
    <t xml:space="preserve">Implementación de interfaz para mostrar mapa</t>
  </si>
  <si>
    <t xml:space="preserve">Implementar descarga de mapas offline</t>
  </si>
  <si>
    <t xml:space="preserve">Implementar API de navegación asistida (Google Maps)</t>
  </si>
  <si>
    <t xml:space="preserve">Spring 4</t>
  </si>
  <si>
    <t xml:space="preserve">Diseño de interfaz de navegación asistida</t>
  </si>
  <si>
    <t xml:space="preserve">Implementación de narraciones guiadas</t>
  </si>
  <si>
    <t xml:space="preserve">Implementar API para acceso offline</t>
  </si>
  <si>
    <t xml:space="preserve">Spring 5</t>
  </si>
  <si>
    <t xml:space="preserve">Implementar filtro de sitios por categoría (catálogo)</t>
  </si>
  <si>
    <t xml:space="preserve">Diseño de interfaz de filtros</t>
  </si>
  <si>
    <t xml:space="preserve">Implementar buscador de sitios turísticos</t>
  </si>
  <si>
    <t xml:space="preserve">Diseño de interfaz de búsqueda</t>
  </si>
  <si>
    <t xml:space="preserve">Implementar API para agenda de eventos turísticos</t>
  </si>
  <si>
    <t xml:space="preserve">Spring 6</t>
  </si>
  <si>
    <t xml:space="preserve">Diseño de interfaz de agenda</t>
  </si>
  <si>
    <t xml:space="preserve">Implementar favoritos de sitios turísticos</t>
  </si>
  <si>
    <t xml:space="preserve">Diseño de interfaz de favoritos</t>
  </si>
  <si>
    <t xml:space="preserve">Implementar compartir información de sitios</t>
  </si>
  <si>
    <t xml:space="preserve">Diseño de interfaz de reseñas</t>
  </si>
  <si>
    <t xml:space="preserve">Diseño de interfaz de compartir</t>
  </si>
  <si>
    <t xml:space="preserve">Spring 7</t>
  </si>
  <si>
    <t xml:space="preserve">Implementar API de reseñas</t>
  </si>
  <si>
    <t xml:space="preserve">Implementar API para publicar reseñas</t>
  </si>
  <si>
    <t xml:space="preserve">Diseño de interfaz para reseñas</t>
  </si>
  <si>
    <t xml:space="preserve">Implementar registro de usuario</t>
  </si>
  <si>
    <t xml:space="preserve">Sprint 8</t>
  </si>
  <si>
    <t xml:space="preserve">Diseño de interfaz de registro</t>
  </si>
  <si>
    <t xml:space="preserve">Implementar inicio de sesión</t>
  </si>
  <si>
    <t xml:space="preserve">Diseño de interfaz de login</t>
  </si>
  <si>
    <t xml:space="preserve">Diseño de interfaz notificaciones</t>
  </si>
  <si>
    <t xml:space="preserve">Implementar API perfil de usuario</t>
  </si>
  <si>
    <t xml:space="preserve">Sprint 9</t>
  </si>
  <si>
    <t xml:space="preserve">Diseño de interfaz perfil de usuario</t>
  </si>
  <si>
    <t xml:space="preserve">Implementar notificaciones push</t>
  </si>
  <si>
    <t xml:space="preserve">Diseño de interfaz integración redes sociales</t>
  </si>
  <si>
    <t xml:space="preserve">Implementar recomendaciones personalizadas</t>
  </si>
  <si>
    <t xml:space="preserve">Spring 10</t>
  </si>
  <si>
    <t xml:space="preserve">Diseño de interfaz recomendaciones</t>
  </si>
  <si>
    <t xml:space="preserve">Implementar login/redes sociales</t>
  </si>
  <si>
    <t xml:space="preserve">Implementar API de información práctica de transporte</t>
  </si>
  <si>
    <t xml:space="preserve">Diseño de interfaz info transporte y servicios</t>
  </si>
  <si>
    <t xml:space="preserve">Spring 11</t>
  </si>
  <si>
    <t xml:space="preserve">Implementar API itinerarios</t>
  </si>
  <si>
    <t xml:space="preserve">Diseño de interfaz itinerarios</t>
  </si>
  <si>
    <t xml:space="preserve">Implementar API de contacto con guías turísticos</t>
  </si>
  <si>
    <t xml:space="preserve">Spring 12</t>
  </si>
  <si>
    <t xml:space="preserve">Diseño de interfaz de contacto guías</t>
  </si>
  <si>
    <t xml:space="preserve">Implementar API para denuncias de contenido</t>
  </si>
  <si>
    <t xml:space="preserve">Spring 13</t>
  </si>
  <si>
    <t xml:space="preserve">Diseño de interfaz de denuncias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</si>
</sst>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6"/>
        <bgColor rgb="FFFF9900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  <fill>
      <patternFill patternType="solid">
        <fgColor rgb="FF15846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BBC0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3" t="s">
        <v>4</v>
      </c>
      <c r="C2" s="2" t="n">
        <v>4</v>
      </c>
    </row>
    <row r="3" customFormat="false" ht="15.75" hidden="false" customHeight="false" outlineLevel="0" collapsed="false">
      <c r="A3" s="2" t="s">
        <v>5</v>
      </c>
      <c r="B3" s="4" t="s">
        <v>6</v>
      </c>
      <c r="C3" s="2" t="n">
        <v>1.5</v>
      </c>
    </row>
    <row r="4" customFormat="false" ht="15.75" hidden="false" customHeight="false" outlineLevel="0" collapsed="false">
      <c r="A4" s="2" t="s">
        <v>7</v>
      </c>
      <c r="B4" s="4" t="s">
        <v>6</v>
      </c>
      <c r="C4" s="2" t="n">
        <v>1.5</v>
      </c>
    </row>
    <row r="5" customFormat="false" ht="15.75" hidden="false" customHeight="false" outlineLevel="0" collapsed="false">
      <c r="A5" s="2" t="s">
        <v>8</v>
      </c>
      <c r="B5" s="3" t="s">
        <v>4</v>
      </c>
      <c r="C5" s="2" t="n">
        <v>4</v>
      </c>
    </row>
    <row r="6" customFormat="false" ht="15.75" hidden="false" customHeight="false" outlineLevel="0" collapsed="false">
      <c r="A6" s="2" t="s">
        <v>9</v>
      </c>
      <c r="B6" s="3" t="s">
        <v>4</v>
      </c>
      <c r="C6" s="2" t="n">
        <v>5</v>
      </c>
    </row>
    <row r="7" customFormat="false" ht="15.75" hidden="false" customHeight="false" outlineLevel="0" collapsed="false">
      <c r="A7" s="2" t="s">
        <v>10</v>
      </c>
      <c r="B7" s="4" t="s">
        <v>6</v>
      </c>
      <c r="C7" s="2" t="n">
        <v>2</v>
      </c>
    </row>
    <row r="8" customFormat="false" ht="15.75" hidden="false" customHeight="false" outlineLevel="0" collapsed="false">
      <c r="A8" s="2" t="s">
        <v>11</v>
      </c>
      <c r="B8" s="5" t="s">
        <v>12</v>
      </c>
      <c r="C8" s="2" t="n">
        <v>2</v>
      </c>
    </row>
    <row r="9" customFormat="false" ht="15.75" hidden="false" customHeight="false" outlineLevel="0" collapsed="false">
      <c r="A9" s="2" t="s">
        <v>13</v>
      </c>
      <c r="B9" s="5" t="s">
        <v>12</v>
      </c>
      <c r="C9" s="2" t="n">
        <v>2</v>
      </c>
    </row>
    <row r="10" customFormat="false" ht="15.75" hidden="false" customHeight="false" outlineLevel="0" collapsed="false">
      <c r="A10" s="2" t="s">
        <v>14</v>
      </c>
      <c r="B10" s="4" t="s">
        <v>6</v>
      </c>
      <c r="C10" s="2" t="n">
        <v>2</v>
      </c>
    </row>
    <row r="11" customFormat="false" ht="15.75" hidden="false" customHeight="false" outlineLevel="0" collapsed="false">
      <c r="A11" s="2" t="s">
        <v>15</v>
      </c>
      <c r="B11" s="5" t="s">
        <v>12</v>
      </c>
      <c r="C11" s="2" t="n">
        <v>1.5</v>
      </c>
    </row>
    <row r="12" customFormat="false" ht="15.75" hidden="false" customHeight="false" outlineLevel="0" collapsed="false">
      <c r="A12" s="2" t="s">
        <v>16</v>
      </c>
      <c r="B12" s="5" t="s">
        <v>12</v>
      </c>
      <c r="C12" s="2" t="n">
        <v>2</v>
      </c>
    </row>
    <row r="13" customFormat="false" ht="15.75" hidden="false" customHeight="false" outlineLevel="0" collapsed="false">
      <c r="A13" s="2" t="s">
        <v>17</v>
      </c>
      <c r="B13" s="4" t="s">
        <v>6</v>
      </c>
      <c r="C13" s="2" t="n">
        <v>2.5</v>
      </c>
    </row>
    <row r="14" customFormat="false" ht="15.75" hidden="false" customHeight="false" outlineLevel="0" collapsed="false">
      <c r="A14" s="2" t="s">
        <v>18</v>
      </c>
      <c r="B14" s="4" t="s">
        <v>6</v>
      </c>
      <c r="C14" s="2" t="n">
        <v>3.5</v>
      </c>
    </row>
    <row r="15" customFormat="false" ht="15.75" hidden="false" customHeight="false" outlineLevel="0" collapsed="false">
      <c r="A15" s="2" t="s">
        <v>19</v>
      </c>
      <c r="B15" s="3" t="s">
        <v>20</v>
      </c>
      <c r="C15" s="2" t="n">
        <v>4</v>
      </c>
    </row>
    <row r="16" customFormat="false" ht="15.75" hidden="false" customHeight="false" outlineLevel="0" collapsed="false">
      <c r="A16" s="2" t="s">
        <v>21</v>
      </c>
      <c r="B16" s="3" t="s">
        <v>20</v>
      </c>
      <c r="C16" s="2" t="n">
        <v>2</v>
      </c>
    </row>
    <row r="17" customFormat="false" ht="15.75" hidden="false" customHeight="false" outlineLevel="0" collapsed="false">
      <c r="A17" s="2" t="s">
        <v>22</v>
      </c>
      <c r="B17" s="4" t="s">
        <v>6</v>
      </c>
      <c r="C17" s="2" t="n">
        <v>3.5</v>
      </c>
    </row>
    <row r="18" customFormat="false" ht="15.75" hidden="false" customHeight="false" outlineLevel="0" collapsed="false">
      <c r="A18" s="2" t="s">
        <v>23</v>
      </c>
      <c r="B18" s="4" t="s">
        <v>6</v>
      </c>
      <c r="C18" s="2" t="n">
        <v>1.5</v>
      </c>
    </row>
    <row r="19" customFormat="false" ht="15.75" hidden="false" customHeight="false" outlineLevel="0" collapsed="false">
      <c r="A19" s="2" t="s">
        <v>24</v>
      </c>
      <c r="B19" s="4" t="s">
        <v>6</v>
      </c>
      <c r="C19" s="2" t="n">
        <v>2</v>
      </c>
    </row>
    <row r="20" customFormat="false" ht="15.75" hidden="false" customHeight="false" outlineLevel="0" collapsed="false">
      <c r="A20" s="2" t="s">
        <v>25</v>
      </c>
      <c r="B20" s="4" t="s">
        <v>6</v>
      </c>
      <c r="C20" s="2" t="n">
        <v>1.5</v>
      </c>
    </row>
    <row r="21" customFormat="false" ht="15.75" hidden="false" customHeight="false" outlineLevel="0" collapsed="false">
      <c r="A21" s="2" t="s">
        <v>26</v>
      </c>
      <c r="B21" s="4" t="s">
        <v>6</v>
      </c>
      <c r="C21" s="2" t="n">
        <v>4</v>
      </c>
    </row>
    <row r="22" customFormat="false" ht="15.75" hidden="false" customHeight="false" outlineLevel="0" collapsed="false">
      <c r="A22" s="2" t="s">
        <v>27</v>
      </c>
      <c r="B22" s="4" t="s">
        <v>6</v>
      </c>
      <c r="C22" s="2" t="n">
        <v>2.5</v>
      </c>
    </row>
    <row r="23" customFormat="false" ht="15.75" hidden="false" customHeight="false" outlineLevel="0" collapsed="false">
      <c r="A23" s="2" t="s">
        <v>28</v>
      </c>
      <c r="B23" s="4" t="s">
        <v>6</v>
      </c>
      <c r="C23" s="2" t="n">
        <v>5</v>
      </c>
    </row>
    <row r="24" customFormat="false" ht="15.75" hidden="false" customHeight="false" outlineLevel="0" collapsed="false">
      <c r="A24" s="2" t="s">
        <v>29</v>
      </c>
      <c r="B24" s="5" t="s">
        <v>12</v>
      </c>
      <c r="C24" s="2" t="n">
        <v>3</v>
      </c>
    </row>
    <row r="25" customFormat="false" ht="15.75" hidden="false" customHeight="false" outlineLevel="0" collapsed="false">
      <c r="A25" s="6" t="s">
        <v>30</v>
      </c>
      <c r="B25" s="6"/>
      <c r="C25" s="7" t="n">
        <f aca="false">SUM(C2:C24)</f>
        <v>62.5</v>
      </c>
    </row>
    <row r="26" customFormat="false" ht="15.75" hidden="false" customHeight="false" outlineLevel="0" collapsed="false">
      <c r="A26" s="6" t="s">
        <v>31</v>
      </c>
      <c r="B26" s="6"/>
      <c r="C26" s="2" t="n">
        <v>6.4</v>
      </c>
    </row>
    <row r="27" customFormat="false" ht="15.75" hidden="false" customHeight="false" outlineLevel="0" collapsed="false">
      <c r="A27" s="6" t="s">
        <v>32</v>
      </c>
      <c r="B27" s="6"/>
      <c r="C27" s="7" t="n">
        <f aca="false">C25*C26</f>
        <v>400</v>
      </c>
    </row>
    <row r="28" customFormat="false" ht="15.75" hidden="false" customHeight="false" outlineLevel="0" collapsed="false">
      <c r="A28" s="6" t="s">
        <v>33</v>
      </c>
      <c r="B28" s="6"/>
      <c r="C28" s="7" t="n">
        <f aca="false">C27/40</f>
        <v>10</v>
      </c>
    </row>
  </sheetData>
  <autoFilter ref="A1:C28"/>
  <mergeCells count="4">
    <mergeCell ref="A25:B25"/>
    <mergeCell ref="A26:B26"/>
    <mergeCell ref="A27:B27"/>
    <mergeCell ref="A28:B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47" activeCellId="0" sqref="A4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7.47"/>
  </cols>
  <sheetData>
    <row r="1" customFormat="false" ht="15.75" hidden="false" customHeight="false" outlineLevel="0" collapsed="false">
      <c r="A1" s="6" t="s">
        <v>34</v>
      </c>
      <c r="B1" s="6" t="s">
        <v>0</v>
      </c>
      <c r="C1" s="6" t="s">
        <v>2</v>
      </c>
      <c r="D1" s="8" t="s">
        <v>35</v>
      </c>
      <c r="E1" s="9" t="s">
        <v>36</v>
      </c>
    </row>
    <row r="2" customFormat="false" ht="15.75" hidden="false" customHeight="false" outlineLevel="0" collapsed="false">
      <c r="A2" s="10" t="s">
        <v>37</v>
      </c>
      <c r="B2" s="11" t="str">
        <f aca="false">Epicas!A2</f>
        <v>HU1</v>
      </c>
      <c r="C2" s="10" t="n">
        <v>1</v>
      </c>
      <c r="D2" s="11" t="n">
        <f aca="false">C2*Epicas!$C$26</f>
        <v>6.4</v>
      </c>
      <c r="E2" s="12" t="s">
        <v>38</v>
      </c>
    </row>
    <row r="3" customFormat="false" ht="15.75" hidden="false" customHeight="false" outlineLevel="0" collapsed="false">
      <c r="A3" s="10" t="s">
        <v>39</v>
      </c>
      <c r="B3" s="11" t="str">
        <f aca="false">Epicas!A2</f>
        <v>HU1</v>
      </c>
      <c r="C3" s="10" t="n">
        <v>1</v>
      </c>
      <c r="D3" s="11" t="n">
        <f aca="false">C3*Epicas!$C$26</f>
        <v>6.4</v>
      </c>
      <c r="E3" s="12"/>
    </row>
    <row r="4" customFormat="false" ht="15.75" hidden="false" customHeight="false" outlineLevel="0" collapsed="false">
      <c r="A4" s="10" t="s">
        <v>40</v>
      </c>
      <c r="B4" s="11" t="str">
        <f aca="false">Epicas!A2</f>
        <v>HU1</v>
      </c>
      <c r="C4" s="10" t="n">
        <v>1</v>
      </c>
      <c r="D4" s="11" t="n">
        <f aca="false">C4*Epicas!$C$26</f>
        <v>6.4</v>
      </c>
      <c r="E4" s="12"/>
    </row>
    <row r="5" customFormat="false" ht="15.75" hidden="false" customHeight="false" outlineLevel="0" collapsed="false">
      <c r="A5" s="10" t="s">
        <v>41</v>
      </c>
      <c r="B5" s="11" t="str">
        <f aca="false">Epicas!A2</f>
        <v>HU1</v>
      </c>
      <c r="C5" s="10" t="n">
        <v>1</v>
      </c>
      <c r="D5" s="11" t="n">
        <f aca="false">C5*Epicas!$C$26</f>
        <v>6.4</v>
      </c>
      <c r="E5" s="12"/>
    </row>
    <row r="6" customFormat="false" ht="15.75" hidden="false" customHeight="false" outlineLevel="0" collapsed="false">
      <c r="A6" s="10" t="s">
        <v>42</v>
      </c>
      <c r="B6" s="11" t="str">
        <f aca="false">Epicas!A3</f>
        <v>HU2</v>
      </c>
      <c r="C6" s="10" t="n">
        <v>1</v>
      </c>
      <c r="D6" s="11" t="n">
        <f aca="false">C6*Epicas!$C$26</f>
        <v>6.4</v>
      </c>
      <c r="E6" s="12"/>
    </row>
    <row r="7" customFormat="false" ht="15.75" hidden="false" customHeight="false" outlineLevel="0" collapsed="false">
      <c r="A7" s="10" t="s">
        <v>43</v>
      </c>
      <c r="B7" s="11" t="str">
        <f aca="false">Epicas!A3</f>
        <v>HU2</v>
      </c>
      <c r="C7" s="10" t="n">
        <v>0.5</v>
      </c>
      <c r="D7" s="11" t="n">
        <f aca="false">C7*Epicas!$C$26</f>
        <v>3.2</v>
      </c>
      <c r="E7" s="12" t="s">
        <v>44</v>
      </c>
    </row>
    <row r="8" customFormat="false" ht="15.75" hidden="false" customHeight="false" outlineLevel="0" collapsed="false">
      <c r="A8" s="2" t="s">
        <v>45</v>
      </c>
      <c r="B8" s="7" t="str">
        <f aca="false">Epicas!A4</f>
        <v>HU3</v>
      </c>
      <c r="C8" s="2" t="n">
        <v>1</v>
      </c>
      <c r="D8" s="7" t="n">
        <f aca="false">C8*Epicas!$C$26</f>
        <v>6.4</v>
      </c>
      <c r="E8" s="12"/>
    </row>
    <row r="9" customFormat="false" ht="15.75" hidden="false" customHeight="false" outlineLevel="0" collapsed="false">
      <c r="A9" s="2" t="s">
        <v>46</v>
      </c>
      <c r="B9" s="7" t="str">
        <f aca="false">Epicas!A4</f>
        <v>HU3</v>
      </c>
      <c r="C9" s="2" t="n">
        <v>0.5</v>
      </c>
      <c r="D9" s="7" t="n">
        <f aca="false">C9*Epicas!$C$26</f>
        <v>3.2</v>
      </c>
      <c r="E9" s="12"/>
    </row>
    <row r="10" customFormat="false" ht="15.75" hidden="false" customHeight="false" outlineLevel="0" collapsed="false">
      <c r="A10" s="2" t="s">
        <v>47</v>
      </c>
      <c r="B10" s="7" t="str">
        <f aca="false">Epicas!A5</f>
        <v>HU4</v>
      </c>
      <c r="C10" s="2" t="n">
        <v>1</v>
      </c>
      <c r="D10" s="7" t="n">
        <f aca="false">C10*Epicas!$C$26</f>
        <v>6.4</v>
      </c>
      <c r="E10" s="12"/>
    </row>
    <row r="11" customFormat="false" ht="15.75" hidden="false" customHeight="false" outlineLevel="0" collapsed="false">
      <c r="A11" s="2" t="s">
        <v>48</v>
      </c>
      <c r="B11" s="7" t="str">
        <f aca="false">Epicas!A5</f>
        <v>HU4</v>
      </c>
      <c r="C11" s="2" t="n">
        <v>2</v>
      </c>
      <c r="D11" s="7" t="n">
        <f aca="false">C11*Epicas!$C$26</f>
        <v>12.8</v>
      </c>
      <c r="E11" s="12"/>
    </row>
    <row r="12" customFormat="false" ht="15.75" hidden="false" customHeight="false" outlineLevel="0" collapsed="false">
      <c r="A12" s="2" t="s">
        <v>49</v>
      </c>
      <c r="B12" s="7" t="str">
        <f aca="false">Epicas!A5</f>
        <v>HU4</v>
      </c>
      <c r="C12" s="2" t="n">
        <v>1</v>
      </c>
      <c r="D12" s="7" t="n">
        <f aca="false">C12*Epicas!$C$26</f>
        <v>6.4</v>
      </c>
      <c r="E12" s="12" t="s">
        <v>50</v>
      </c>
    </row>
    <row r="13" customFormat="false" ht="15.75" hidden="false" customHeight="false" outlineLevel="0" collapsed="false">
      <c r="A13" s="2" t="s">
        <v>51</v>
      </c>
      <c r="B13" s="2" t="s">
        <v>8</v>
      </c>
      <c r="C13" s="2" t="n">
        <v>2</v>
      </c>
      <c r="D13" s="7" t="n">
        <f aca="false">C13*Epicas!$C$26</f>
        <v>12.8</v>
      </c>
      <c r="E13" s="12"/>
    </row>
    <row r="14" customFormat="false" ht="15.75" hidden="false" customHeight="false" outlineLevel="0" collapsed="false">
      <c r="A14" s="2" t="s">
        <v>52</v>
      </c>
      <c r="B14" s="2" t="s">
        <v>8</v>
      </c>
      <c r="C14" s="2" t="n">
        <v>1</v>
      </c>
      <c r="D14" s="7" t="n">
        <f aca="false">C14*Epicas!$C$26</f>
        <v>6.4</v>
      </c>
      <c r="E14" s="12"/>
    </row>
    <row r="15" customFormat="false" ht="15.75" hidden="false" customHeight="false" outlineLevel="0" collapsed="false">
      <c r="A15" s="2" t="s">
        <v>53</v>
      </c>
      <c r="B15" s="2" t="s">
        <v>10</v>
      </c>
      <c r="C15" s="2" t="n">
        <v>1</v>
      </c>
      <c r="D15" s="7" t="n">
        <f aca="false">C15*Epicas!$C$26</f>
        <v>6.4</v>
      </c>
      <c r="E15" s="12"/>
    </row>
    <row r="16" customFormat="false" ht="15.75" hidden="false" customHeight="false" outlineLevel="0" collapsed="false">
      <c r="A16" s="2" t="s">
        <v>54</v>
      </c>
      <c r="B16" s="2" t="s">
        <v>9</v>
      </c>
      <c r="C16" s="2" t="n">
        <v>2</v>
      </c>
      <c r="D16" s="7" t="n">
        <f aca="false">C16*Epicas!$C$26</f>
        <v>12.8</v>
      </c>
      <c r="E16" s="12" t="s">
        <v>55</v>
      </c>
    </row>
    <row r="17" customFormat="false" ht="15.75" hidden="false" customHeight="false" outlineLevel="0" collapsed="false">
      <c r="A17" s="2" t="s">
        <v>56</v>
      </c>
      <c r="B17" s="2" t="s">
        <v>9</v>
      </c>
      <c r="C17" s="2" t="n">
        <v>1</v>
      </c>
      <c r="D17" s="7" t="n">
        <f aca="false">C17*Epicas!$C$26</f>
        <v>6.4</v>
      </c>
      <c r="E17" s="12"/>
    </row>
    <row r="18" customFormat="false" ht="15.75" hidden="false" customHeight="false" outlineLevel="0" collapsed="false">
      <c r="A18" s="2" t="s">
        <v>57</v>
      </c>
      <c r="B18" s="2" t="s">
        <v>9</v>
      </c>
      <c r="C18" s="2" t="n">
        <v>2</v>
      </c>
      <c r="D18" s="7" t="n">
        <f aca="false">C18*Epicas!$C$26</f>
        <v>12.8</v>
      </c>
      <c r="E18" s="12"/>
    </row>
    <row r="19" customFormat="false" ht="15.75" hidden="false" customHeight="false" outlineLevel="0" collapsed="false">
      <c r="A19" s="2" t="s">
        <v>58</v>
      </c>
      <c r="B19" s="2" t="s">
        <v>10</v>
      </c>
      <c r="C19" s="2" t="n">
        <v>1</v>
      </c>
      <c r="D19" s="7" t="n">
        <f aca="false">C19*Epicas!$C$26</f>
        <v>6.4</v>
      </c>
      <c r="E19" s="12" t="s">
        <v>59</v>
      </c>
    </row>
    <row r="20" customFormat="false" ht="15.75" hidden="false" customHeight="false" outlineLevel="0" collapsed="false">
      <c r="A20" s="2" t="s">
        <v>60</v>
      </c>
      <c r="B20" s="2" t="s">
        <v>11</v>
      </c>
      <c r="C20" s="2" t="n">
        <v>1</v>
      </c>
      <c r="D20" s="7" t="n">
        <f aca="false">C20*Epicas!$C$26</f>
        <v>6.4</v>
      </c>
      <c r="E20" s="12"/>
    </row>
    <row r="21" customFormat="false" ht="15.75" hidden="false" customHeight="false" outlineLevel="0" collapsed="false">
      <c r="A21" s="2" t="s">
        <v>61</v>
      </c>
      <c r="B21" s="2" t="s">
        <v>11</v>
      </c>
      <c r="C21" s="2" t="n">
        <v>1</v>
      </c>
      <c r="D21" s="7" t="n">
        <f aca="false">C21*Epicas!$C$26</f>
        <v>6.4</v>
      </c>
      <c r="E21" s="12"/>
    </row>
    <row r="22" customFormat="false" ht="15.75" hidden="false" customHeight="false" outlineLevel="0" collapsed="false">
      <c r="A22" s="2" t="s">
        <v>62</v>
      </c>
      <c r="B22" s="2" t="s">
        <v>13</v>
      </c>
      <c r="C22" s="2" t="n">
        <v>1</v>
      </c>
      <c r="D22" s="7" t="n">
        <f aca="false">C22*Epicas!$C$26</f>
        <v>6.4</v>
      </c>
      <c r="E22" s="12"/>
    </row>
    <row r="23" customFormat="false" ht="15.75" hidden="false" customHeight="false" outlineLevel="0" collapsed="false">
      <c r="A23" s="2" t="s">
        <v>63</v>
      </c>
      <c r="B23" s="2" t="s">
        <v>13</v>
      </c>
      <c r="C23" s="2" t="n">
        <v>1</v>
      </c>
      <c r="D23" s="7" t="n">
        <f aca="false">C23*Epicas!$C$26</f>
        <v>6.4</v>
      </c>
      <c r="E23" s="12"/>
    </row>
    <row r="24" customFormat="false" ht="15.75" hidden="false" customHeight="false" outlineLevel="0" collapsed="false">
      <c r="A24" s="2" t="s">
        <v>64</v>
      </c>
      <c r="B24" s="2" t="s">
        <v>14</v>
      </c>
      <c r="C24" s="2" t="n">
        <v>1</v>
      </c>
      <c r="D24" s="7" t="n">
        <f aca="false">C24*Epicas!$C$26</f>
        <v>6.4</v>
      </c>
      <c r="E24" s="12" t="s">
        <v>65</v>
      </c>
    </row>
    <row r="25" customFormat="false" ht="15.75" hidden="false" customHeight="false" outlineLevel="0" collapsed="false">
      <c r="A25" s="2" t="s">
        <v>66</v>
      </c>
      <c r="B25" s="2" t="s">
        <v>14</v>
      </c>
      <c r="C25" s="2" t="n">
        <v>1</v>
      </c>
      <c r="D25" s="7" t="n">
        <f aca="false">C25*Epicas!$C$26</f>
        <v>6.4</v>
      </c>
      <c r="E25" s="12"/>
    </row>
    <row r="26" customFormat="false" ht="15.75" hidden="false" customHeight="false" outlineLevel="0" collapsed="false">
      <c r="A26" s="2" t="s">
        <v>67</v>
      </c>
      <c r="B26" s="2" t="s">
        <v>15</v>
      </c>
      <c r="C26" s="2" t="n">
        <v>1</v>
      </c>
      <c r="D26" s="7" t="n">
        <f aca="false">C26*Epicas!$C$26</f>
        <v>6.4</v>
      </c>
      <c r="E26" s="12"/>
    </row>
    <row r="27" customFormat="false" ht="15.75" hidden="false" customHeight="false" outlineLevel="0" collapsed="false">
      <c r="A27" s="2" t="s">
        <v>68</v>
      </c>
      <c r="B27" s="2" t="s">
        <v>15</v>
      </c>
      <c r="C27" s="2" t="n">
        <v>0.5</v>
      </c>
      <c r="D27" s="7" t="n">
        <f aca="false">C27*Epicas!$C$26</f>
        <v>3.2</v>
      </c>
      <c r="E27" s="12"/>
    </row>
    <row r="28" customFormat="false" ht="15.75" hidden="false" customHeight="false" outlineLevel="0" collapsed="false">
      <c r="A28" s="2" t="s">
        <v>69</v>
      </c>
      <c r="B28" s="2" t="s">
        <v>16</v>
      </c>
      <c r="C28" s="2" t="n">
        <v>1</v>
      </c>
      <c r="D28" s="7" t="n">
        <f aca="false">C28*Epicas!$C$26</f>
        <v>6.4</v>
      </c>
      <c r="E28" s="12"/>
    </row>
    <row r="29" customFormat="false" ht="15.75" hidden="false" customHeight="false" outlineLevel="0" collapsed="false">
      <c r="A29" s="2" t="s">
        <v>70</v>
      </c>
      <c r="B29" s="2" t="s">
        <v>17</v>
      </c>
      <c r="C29" s="2" t="n">
        <v>0.5</v>
      </c>
      <c r="D29" s="7" t="n">
        <f aca="false">C29*Epicas!$C$26</f>
        <v>3.2</v>
      </c>
      <c r="E29" s="12"/>
    </row>
    <row r="30" customFormat="false" ht="15.75" hidden="false" customHeight="false" outlineLevel="0" collapsed="false">
      <c r="A30" s="2" t="s">
        <v>71</v>
      </c>
      <c r="B30" s="2" t="s">
        <v>16</v>
      </c>
      <c r="C30" s="2" t="n">
        <v>1</v>
      </c>
      <c r="D30" s="7" t="n">
        <f aca="false">C30*Epicas!$C$26</f>
        <v>6.4</v>
      </c>
      <c r="E30" s="12" t="s">
        <v>72</v>
      </c>
    </row>
    <row r="31" customFormat="false" ht="15.75" hidden="false" customHeight="false" outlineLevel="0" collapsed="false">
      <c r="A31" s="2" t="s">
        <v>73</v>
      </c>
      <c r="B31" s="2" t="s">
        <v>17</v>
      </c>
      <c r="C31" s="2" t="n">
        <v>1</v>
      </c>
      <c r="D31" s="7" t="n">
        <f aca="false">C31*Epicas!$C$26</f>
        <v>6.4</v>
      </c>
      <c r="E31" s="12"/>
    </row>
    <row r="32" customFormat="false" ht="15.75" hidden="false" customHeight="false" outlineLevel="0" collapsed="false">
      <c r="A32" s="2" t="s">
        <v>74</v>
      </c>
      <c r="B32" s="2" t="s">
        <v>18</v>
      </c>
      <c r="C32" s="2" t="n">
        <v>2</v>
      </c>
      <c r="D32" s="7" t="n">
        <f aca="false">C32*Epicas!$C$26</f>
        <v>12.8</v>
      </c>
      <c r="E32" s="12"/>
    </row>
    <row r="33" customFormat="false" ht="15.75" hidden="false" customHeight="false" outlineLevel="0" collapsed="false">
      <c r="A33" s="2" t="s">
        <v>75</v>
      </c>
      <c r="B33" s="2" t="s">
        <v>18</v>
      </c>
      <c r="C33" s="2" t="n">
        <v>1</v>
      </c>
      <c r="D33" s="7" t="n">
        <f aca="false">C33*Epicas!$C$26</f>
        <v>6.4</v>
      </c>
      <c r="E33" s="12"/>
    </row>
    <row r="34" customFormat="false" ht="15.75" hidden="false" customHeight="false" outlineLevel="0" collapsed="false">
      <c r="A34" s="2" t="s">
        <v>76</v>
      </c>
      <c r="B34" s="2" t="s">
        <v>19</v>
      </c>
      <c r="C34" s="2" t="n">
        <v>1.5</v>
      </c>
      <c r="D34" s="7" t="n">
        <f aca="false">C34*Epicas!$C$26</f>
        <v>9.6</v>
      </c>
      <c r="E34" s="12" t="s">
        <v>77</v>
      </c>
    </row>
    <row r="35" customFormat="false" ht="15.75" hidden="false" customHeight="false" outlineLevel="0" collapsed="false">
      <c r="A35" s="2" t="s">
        <v>78</v>
      </c>
      <c r="B35" s="2" t="s">
        <v>19</v>
      </c>
      <c r="C35" s="2" t="n">
        <v>1</v>
      </c>
      <c r="D35" s="7" t="n">
        <f aca="false">C35*Epicas!$C$26</f>
        <v>6.4</v>
      </c>
      <c r="E35" s="12"/>
    </row>
    <row r="36" customFormat="false" ht="15.75" hidden="false" customHeight="false" outlineLevel="0" collapsed="false">
      <c r="A36" s="2" t="s">
        <v>79</v>
      </c>
      <c r="B36" s="2" t="s">
        <v>21</v>
      </c>
      <c r="C36" s="2" t="n">
        <v>1</v>
      </c>
      <c r="D36" s="7" t="n">
        <f aca="false">C36*Epicas!$C$26</f>
        <v>6.4</v>
      </c>
      <c r="E36" s="12"/>
    </row>
    <row r="37" customFormat="false" ht="15.75" hidden="false" customHeight="false" outlineLevel="0" collapsed="false">
      <c r="A37" s="2" t="s">
        <v>80</v>
      </c>
      <c r="B37" s="2" t="s">
        <v>21</v>
      </c>
      <c r="C37" s="2" t="n">
        <v>1</v>
      </c>
      <c r="D37" s="7" t="n">
        <f aca="false">C37*Epicas!$C$26</f>
        <v>6.4</v>
      </c>
      <c r="E37" s="12"/>
    </row>
    <row r="38" customFormat="false" ht="15.75" hidden="false" customHeight="false" outlineLevel="0" collapsed="false">
      <c r="A38" s="2" t="s">
        <v>81</v>
      </c>
      <c r="B38" s="2" t="s">
        <v>23</v>
      </c>
      <c r="C38" s="2" t="n">
        <v>0.5</v>
      </c>
      <c r="D38" s="7" t="n">
        <f aca="false">C38*Epicas!$C$26</f>
        <v>3.2</v>
      </c>
      <c r="E38" s="12"/>
    </row>
    <row r="39" customFormat="false" ht="15.75" hidden="false" customHeight="false" outlineLevel="0" collapsed="false">
      <c r="A39" s="2" t="s">
        <v>82</v>
      </c>
      <c r="B39" s="2" t="s">
        <v>22</v>
      </c>
      <c r="C39" s="2" t="n">
        <v>2</v>
      </c>
      <c r="D39" s="7" t="n">
        <f aca="false">C39*Epicas!$C$26</f>
        <v>12.8</v>
      </c>
      <c r="E39" s="12" t="s">
        <v>83</v>
      </c>
    </row>
    <row r="40" customFormat="false" ht="15.75" hidden="false" customHeight="false" outlineLevel="0" collapsed="false">
      <c r="A40" s="2" t="s">
        <v>84</v>
      </c>
      <c r="B40" s="2" t="s">
        <v>22</v>
      </c>
      <c r="C40" s="2" t="n">
        <v>1.5</v>
      </c>
      <c r="D40" s="7" t="n">
        <f aca="false">C40*Epicas!$C$26</f>
        <v>9.6</v>
      </c>
      <c r="E40" s="12"/>
    </row>
    <row r="41" customFormat="false" ht="15.75" hidden="false" customHeight="false" outlineLevel="0" collapsed="false">
      <c r="A41" s="2" t="s">
        <v>85</v>
      </c>
      <c r="B41" s="2" t="s">
        <v>23</v>
      </c>
      <c r="C41" s="2" t="n">
        <v>1</v>
      </c>
      <c r="D41" s="7" t="n">
        <f aca="false">C41*Epicas!$C$26</f>
        <v>6.4</v>
      </c>
      <c r="E41" s="12"/>
    </row>
    <row r="42" customFormat="false" ht="15.75" hidden="false" customHeight="false" outlineLevel="0" collapsed="false">
      <c r="A42" s="2" t="s">
        <v>86</v>
      </c>
      <c r="B42" s="2" t="s">
        <v>25</v>
      </c>
      <c r="C42" s="2" t="n">
        <v>0.5</v>
      </c>
      <c r="D42" s="7" t="n">
        <f aca="false">C42*Epicas!$C$26</f>
        <v>3.2</v>
      </c>
      <c r="E42" s="12"/>
    </row>
    <row r="43" customFormat="false" ht="15.75" hidden="false" customHeight="false" outlineLevel="0" collapsed="false">
      <c r="A43" s="2" t="s">
        <v>87</v>
      </c>
      <c r="B43" s="2" t="s">
        <v>24</v>
      </c>
      <c r="C43" s="2" t="n">
        <v>1</v>
      </c>
      <c r="D43" s="7" t="n">
        <f aca="false">C43*Epicas!$C$26</f>
        <v>6.4</v>
      </c>
      <c r="E43" s="12" t="s">
        <v>88</v>
      </c>
    </row>
    <row r="44" customFormat="false" ht="15.75" hidden="false" customHeight="false" outlineLevel="0" collapsed="false">
      <c r="A44" s="2" t="s">
        <v>89</v>
      </c>
      <c r="B44" s="2" t="s">
        <v>24</v>
      </c>
      <c r="C44" s="2" t="n">
        <v>1</v>
      </c>
      <c r="D44" s="7" t="n">
        <f aca="false">C44*Epicas!$C$26</f>
        <v>6.4</v>
      </c>
      <c r="E44" s="12"/>
    </row>
    <row r="45" customFormat="false" ht="15.75" hidden="false" customHeight="false" outlineLevel="0" collapsed="false">
      <c r="A45" s="2" t="s">
        <v>90</v>
      </c>
      <c r="B45" s="2" t="s">
        <v>25</v>
      </c>
      <c r="C45" s="2" t="n">
        <v>1</v>
      </c>
      <c r="D45" s="7" t="n">
        <f aca="false">C45*Epicas!$C$26</f>
        <v>6.4</v>
      </c>
      <c r="E45" s="12"/>
    </row>
    <row r="46" customFormat="false" ht="15.75" hidden="false" customHeight="false" outlineLevel="0" collapsed="false">
      <c r="A46" s="2" t="s">
        <v>91</v>
      </c>
      <c r="B46" s="2" t="s">
        <v>26</v>
      </c>
      <c r="C46" s="2" t="n">
        <v>2</v>
      </c>
      <c r="D46" s="7" t="n">
        <f aca="false">C46*Epicas!$C$26</f>
        <v>12.8</v>
      </c>
      <c r="E46" s="12"/>
    </row>
    <row r="47" customFormat="false" ht="15.75" hidden="false" customHeight="false" outlineLevel="0" collapsed="false">
      <c r="A47" s="2" t="s">
        <v>92</v>
      </c>
      <c r="B47" s="2" t="s">
        <v>26</v>
      </c>
      <c r="C47" s="2" t="n">
        <v>2</v>
      </c>
      <c r="D47" s="7" t="n">
        <f aca="false">C47*Epicas!$C$26</f>
        <v>12.8</v>
      </c>
      <c r="E47" s="12" t="s">
        <v>93</v>
      </c>
    </row>
    <row r="48" customFormat="false" ht="15.75" hidden="false" customHeight="false" outlineLevel="0" collapsed="false">
      <c r="A48" s="2" t="s">
        <v>94</v>
      </c>
      <c r="B48" s="2" t="s">
        <v>27</v>
      </c>
      <c r="C48" s="2" t="n">
        <v>1</v>
      </c>
      <c r="D48" s="7" t="n">
        <f aca="false">C48*Epicas!$C$26</f>
        <v>6.4</v>
      </c>
      <c r="E48" s="12"/>
    </row>
    <row r="49" customFormat="false" ht="15.75" hidden="false" customHeight="false" outlineLevel="0" collapsed="false">
      <c r="A49" s="2" t="s">
        <v>95</v>
      </c>
      <c r="B49" s="2" t="s">
        <v>27</v>
      </c>
      <c r="C49" s="2" t="n">
        <v>1.5</v>
      </c>
      <c r="D49" s="7" t="n">
        <f aca="false">C49*Epicas!$C$26</f>
        <v>9.6</v>
      </c>
      <c r="E49" s="12"/>
    </row>
    <row r="50" customFormat="false" ht="15.75" hidden="false" customHeight="false" outlineLevel="0" collapsed="false">
      <c r="A50" s="2" t="s">
        <v>96</v>
      </c>
      <c r="B50" s="2" t="s">
        <v>28</v>
      </c>
      <c r="C50" s="2" t="n">
        <v>3</v>
      </c>
      <c r="D50" s="7" t="n">
        <f aca="false">C50*Epicas!$C$26</f>
        <v>19.2</v>
      </c>
      <c r="E50" s="12" t="s">
        <v>97</v>
      </c>
    </row>
    <row r="51" customFormat="false" ht="15.75" hidden="false" customHeight="false" outlineLevel="0" collapsed="false">
      <c r="A51" s="2" t="s">
        <v>98</v>
      </c>
      <c r="B51" s="2" t="s">
        <v>28</v>
      </c>
      <c r="C51" s="2" t="n">
        <v>2</v>
      </c>
      <c r="D51" s="7" t="n">
        <f aca="false">C51*Epicas!$C$26</f>
        <v>12.8</v>
      </c>
      <c r="E51" s="12"/>
    </row>
    <row r="52" customFormat="false" ht="15.75" hidden="false" customHeight="false" outlineLevel="0" collapsed="false">
      <c r="A52" s="2" t="s">
        <v>99</v>
      </c>
      <c r="B52" s="2" t="s">
        <v>29</v>
      </c>
      <c r="C52" s="2" t="n">
        <v>2</v>
      </c>
      <c r="D52" s="7" t="n">
        <f aca="false">C52*Epicas!$C$26</f>
        <v>12.8</v>
      </c>
      <c r="E52" s="12" t="s">
        <v>100</v>
      </c>
    </row>
    <row r="53" customFormat="false" ht="15.75" hidden="false" customHeight="false" outlineLevel="0" collapsed="false">
      <c r="A53" s="2" t="s">
        <v>101</v>
      </c>
      <c r="B53" s="2" t="s">
        <v>29</v>
      </c>
      <c r="C53" s="2" t="n">
        <v>1</v>
      </c>
      <c r="D53" s="7" t="n">
        <f aca="false">C53*Epicas!$C$26</f>
        <v>6.4</v>
      </c>
      <c r="E53" s="12"/>
    </row>
    <row r="54" customFormat="false" ht="15.75" hidden="false" customHeight="false" outlineLevel="0" collapsed="false">
      <c r="D54" s="13" t="n">
        <f aca="false">SUM(D2:D53)</f>
        <v>400</v>
      </c>
      <c r="E54" s="14"/>
    </row>
  </sheetData>
  <mergeCells count="13">
    <mergeCell ref="E2:E6"/>
    <mergeCell ref="E7:E11"/>
    <mergeCell ref="E12:E15"/>
    <mergeCell ref="E16:E18"/>
    <mergeCell ref="E19:E23"/>
    <mergeCell ref="E24:E29"/>
    <mergeCell ref="E30:E33"/>
    <mergeCell ref="E34:E38"/>
    <mergeCell ref="E39:E42"/>
    <mergeCell ref="E43:E46"/>
    <mergeCell ref="E47:E49"/>
    <mergeCell ref="E50:E51"/>
    <mergeCell ref="E52:E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2025-11-05T14:05:17Z</dcterms:modified>
  <cp:revision>1</cp:revision>
  <dc:subject/>
  <dc:title/>
</cp:coreProperties>
</file>